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d896091dc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rvoirs" sheetId="1" r:id="R5fb2e8e591844610"/>
    <x:sheet xmlns:r="http://schemas.openxmlformats.org/officeDocument/2006/relationships" name="Transport" sheetId="2" r:id="Re068e8becafa446d"/>
    <x:sheet xmlns:r="http://schemas.openxmlformats.org/officeDocument/2006/relationships" name="GasExchange" sheetId="3" r:id="Ra6b9383747ff45e7"/>
    <x:sheet xmlns:r="http://schemas.openxmlformats.org/officeDocument/2006/relationships" name="Parameters" sheetId="4" r:id="R5e252050f1b1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E+00"/>
    <x:numFmt numFmtId="201" formatCode="0.0"/>
    <x:numFmt numFmtId="202" formatCode="0.0000E+00"/>
    <x:numFmt numFmtId="203" formatCode="General"/>
    <x:numFmt numFmtId="204" formatCode="0.000000"/>
    <x:numFmt numFmtId="205" formatCode="0.00000"/>
    <x:numFmt numFmtId="206" formatCode="0.00"/>
  </x:numFmts>
  <x:fonts count="5">
    <x:font>
      <x:sz val="11"/>
      <x:name val="Carlito"/>
    </x:font>
    <x:font>
      <x:sz val="10"/>
      <x:color rgb="FF233143"/>
      <x:name val="Arial"/>
    </x:font>
    <x:font>
      <x:b/>
      <x:sz val="14"/>
      <x:color rgb="FF233143"/>
      <x:name val="Arial"/>
    </x:font>
    <x:font>
      <x:i/>
      <x:sz val="10"/>
      <x:color rgb="FF536170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55C7D"/>
      </x:patternFill>
    </x:fill>
    <x:fill>
      <x:patternFill patternType="solid">
        <x:fgColor rgb="FFFFF2CC"/>
      </x:patternFill>
    </x:fill>
    <x:fill>
      <x:patternFill patternType="solid">
        <x:fgColor rgb="FF355C7D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355C7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0"/>
    </x:xf>
    <x:xf numFmtId="202" fontId="1" fillId="3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c662b05b0468f" /><Relationship Type="http://schemas.openxmlformats.org/officeDocument/2006/relationships/theme" Target="/xl/theme/theme1.xml" Id="Re8238c094107447c" /><Relationship Type="http://schemas.openxmlformats.org/officeDocument/2006/relationships/sharedStrings" Target="/xl/sharedStrings.xml" Id="Rcf89be6d690a4ebf" /><Relationship Type="http://schemas.openxmlformats.org/officeDocument/2006/relationships/worksheet" Target="/xl/worksheets/sheet1.xml" Id="R5fb2e8e591844610" /><Relationship Type="http://schemas.openxmlformats.org/officeDocument/2006/relationships/worksheet" Target="/xl/worksheets/sheet2.xml" Id="Re068e8becafa446d" /><Relationship Type="http://schemas.openxmlformats.org/officeDocument/2006/relationships/worksheet" Target="/xl/worksheets/sheet3.xml" Id="Ra6b9383747ff45e7" /><Relationship Type="http://schemas.openxmlformats.org/officeDocument/2006/relationships/worksheet" Target="/xl/worksheets/sheet4.xml" Id="R5e252050f1b149cf" /></Relationships>
</file>

<file path=xl/tables/table1.xml><?xml version="1.0" encoding="utf-8"?>
<x:table xmlns:x="http://schemas.openxmlformats.org/spreadsheetml/2006/main" id="1" name="OceanReservoirs" displayName="OceanReservoirs" ref="B6:J9" headerRowCount="1" totalsRowCount="0" totalsRowShown="0">
  <x:tableColumns count="9">
    <x:tableColumn id="1" name="Box ID"/>
    <x:tableColumn id="2" name="Description"/>
    <x:tableColumn id="3" name="Area (m2)"/>
    <x:tableColumn id="4" name="Volume (m3)"/>
    <x:tableColumn id="5" name="Temperature (degC)"/>
    <x:tableColumn id="6" name="Salinity"/>
    <x:tableColumn id="7" name="Pressure (bar)"/>
    <x:tableColumn id="8" name="Initial DIC (umol/kg)"/>
    <x:tableColumn id="9" name="Initial TA (umol/k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mosphere" displayName="Atmosphere" ref="B14:E15" headerRowCount="1" totalsRowCount="0" totalsRowShown="0">
  <x:tableColumns count="4">
    <x:tableColumn id="1" name="Box ID"/>
    <x:tableColumn id="2" name="Total air (mol)"/>
    <x:tableColumn id="3" name="Initial CO2 (ppm)"/>
    <x:tableColumn id="4" name="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undaryNodes" displayName="BoundaryNodes" ref="B30:E32" headerRowCount="1" totalsRowCount="0" totalsRowShown="0">
  <x:tableColumns count="4">
    <x:tableColumn id="1" name="Box ID"/>
    <x:tableColumn id="2" name="Type"/>
    <x:tableColumn id="3" name="Species"/>
    <x:tableColumn id="4" name="Ro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portConnections" displayName="TransportConnections" ref="B6:G11" headerRowCount="1" totalsRowCount="0" totalsRowShown="0">
  <x:tableColumns count="6">
    <x:tableColumn id="1" name="Order"/>
    <x:tableColumn id="2" name="source"/>
    <x:tableColumn id="3" name="sink"/>
    <x:tableColumn id="4" name="flux_id"/>
    <x:tableColumn id="5" name="Parameter"/>
    <x:tableColumn id="6" name="Speci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sExchangeConnections" displayName="GasExchangeConnections" ref="B6:F8" headerRowCount="1" totalsRowCount="0" totalsRowShown="0">
  <x:tableColumns count="5">
    <x:tableColumn id="1" name="Order"/>
    <x:tableColumn id="2" name="Atmosphere"/>
    <x:tableColumn id="3" name="Surface"/>
    <x:tableColumn id="4" name="Species"/>
    <x:tableColumn id="5" name="Paramet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cessParameters" displayName="ProcessParameters" ref="B6:F22" headerRowCount="1" totalsRowCount="0" totalsRowShown="0">
  <x:tableColumns count="5">
    <x:tableColumn id="1" name="Parameter"/>
    <x:tableColumn id="2" name="Value"/>
    <x:tableColumn id="3" name="Unit"/>
    <x:tableColumn id="4" name="Role"/>
    <x:tableColumn id="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90c280850d465a" /><Relationship Type="http://schemas.openxmlformats.org/officeDocument/2006/relationships/table" Target="/xl/tables/table2.xml" Id="R3a33841866644240" /><Relationship Type="http://schemas.openxmlformats.org/officeDocument/2006/relationships/table" Target="/xl/tables/table3.xml" Id="Rd59fc6155aff4b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aafc62bef3e74e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bb70236dc3f04f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ae49b845b3344117" /></Relationships>
</file>

<file path=xl/worksheets/sheet1.xml><?xml version="1.0" encoding="utf-8"?>
<x:worksheet xmlns:x="http://schemas.openxmlformats.org/spreadsheetml/2006/main">
  <x:sheetPr>
    <x:tabColor rgb="FF355C7D"/>
  </x:sheetPr>
  <x:sheetViews>
    <x:sheetView showGridLines="0" workbookViewId="0"/>
  </x:sheetViews>
  <x:sheetFormatPr defaultRowHeight="15"/>
  <x:cols>
    <x:col min="1" max="1" width="3" hidden="0" customWidth="1"/>
    <x:col min="2" max="2" width="12" hidden="0" customWidth="1"/>
    <x:col min="3" max="3" width="25" hidden="0" customWidth="1"/>
    <x:col min="4" max="4" width="23" hidden="0" customWidth="1"/>
    <x:col min="5" max="5" width="23" hidden="0" customWidth="1"/>
    <x:col min="6" max="6" width="24" hidden="0" customWidth="1"/>
    <x:col min="7" max="7" width="12" hidden="0" customWidth="1"/>
    <x:col min="8" max="8" width="20" hidden="0" customWidth="1"/>
    <x:col min="9" max="9" width="27" hidden="0" customWidth="1"/>
    <x:col min="10" max="10" width="27" hidden="0" customWidth="1"/>
  </x:cols>
  <x:sheetData>
    <x:row r="2" ht="23" customHeight="1">
      <x:c r="B2" s="6" t="str">
        <x:v>Model definition for practicals 03 and 04</x:v>
      </x:c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B3" s="5" t="str">
        <x:v>Prescribed benchmark geometry and water properties. DIC, TA and atmospheric CO2 are initial values.</x:v>
      </x:c>
      <x:c r="C3" s="3"/>
      <x:c r="D3" s="3"/>
      <x:c r="E3" s="3"/>
      <x:c r="F3" s="3"/>
      <x:c r="G3" s="3"/>
      <x:c r="H3" s="3"/>
      <x:c r="I3" s="3"/>
      <x:c r="J3" s="3"/>
    </x:row>
    <x:row r="4" ht="23" customHeight="1">
      <x:c r="B4" s="5" t="str">
        <x:v>Source: ESBMTK Boudreau_2010 example, as archived with these practicals. Atmospheric size: ESBMTK GasReservoir default.</x:v>
      </x:c>
      <x:c r="C4" s="3"/>
      <x:c r="D4" s="3"/>
      <x:c r="E4" s="3"/>
      <x:c r="F4" s="3"/>
      <x:c r="G4" s="3"/>
      <x:c r="H4" s="3"/>
      <x:c r="I4" s="3"/>
      <x:c r="J4" s="3"/>
    </x:row>
    <x:row r="5" ht="23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30" customHeight="1">
      <x:c r="B6" s="10" t="str">
        <x:v>Box ID</x:v>
      </x:c>
      <x:c r="C6" s="10" t="str">
        <x:v>Description</x:v>
      </x:c>
      <x:c r="D6" s="10" t="str">
        <x:v>Area (m2)</x:v>
      </x:c>
      <x:c r="E6" s="10" t="str">
        <x:v>Volume (m3)</x:v>
      </x:c>
      <x:c r="F6" s="10" t="str">
        <x:v>Temperature (degC)</x:v>
      </x:c>
      <x:c r="G6" s="10" t="str">
        <x:v>Salinity</x:v>
      </x:c>
      <x:c r="H6" s="10" t="str">
        <x:v>Pressure (bar)</x:v>
      </x:c>
      <x:c r="I6" s="10" t="str">
        <x:v>Initial DIC (umol/kg)</x:v>
      </x:c>
      <x:c r="J6" s="10" t="str">
        <x:v>Initial TA (umol/kg)</x:v>
      </x:c>
    </x:row>
    <x:row r="7" ht="23" customHeight="1">
      <x:c r="B7" s="3" t="str">
        <x:v>H_b</x:v>
      </x:c>
      <x:c r="C7" s="3" t="str">
        <x:v>High-latitude surface</x:v>
      </x:c>
      <x:c r="D7" s="12" t="n">
        <x:v>50000000000000</x:v>
      </x:c>
      <x:c r="E7" s="12" t="n">
        <x:v>17600000000000000</x:v>
      </x:c>
      <x:c r="F7" s="13" t="n">
        <x:v>2</x:v>
      </x:c>
      <x:c r="G7" s="13" t="n">
        <x:v>35</x:v>
      </x:c>
      <x:c r="H7" s="13" t="n">
        <x:v>17.6</x:v>
      </x:c>
      <x:c r="I7" s="13" t="n">
        <x:v>2153</x:v>
      </x:c>
      <x:c r="J7" s="13" t="n">
        <x:v>2345</x:v>
      </x:c>
    </x:row>
    <x:row r="8" ht="23" customHeight="1">
      <x:c r="B8" s="3" t="str">
        <x:v>L_b</x:v>
      </x:c>
      <x:c r="C8" s="3" t="str">
        <x:v>Low-latitude surface</x:v>
      </x:c>
      <x:c r="D8" s="12" t="n">
        <x:v>285000000000000</x:v>
      </x:c>
      <x:c r="E8" s="12" t="n">
        <x:v>28500000000000000</x:v>
      </x:c>
      <x:c r="F8" s="13" t="n">
        <x:v>21.5</x:v>
      </x:c>
      <x:c r="G8" s="13" t="n">
        <x:v>35</x:v>
      </x:c>
      <x:c r="H8" s="13" t="n">
        <x:v>5</x:v>
      </x:c>
      <x:c r="I8" s="13" t="n">
        <x:v>1952</x:v>
      </x:c>
      <x:c r="J8" s="13" t="n">
        <x:v>2288</x:v>
      </x:c>
    </x:row>
    <x:row r="9" ht="23" customHeight="1">
      <x:c r="B9" s="3" t="str">
        <x:v>D_b</x:v>
      </x:c>
      <x:c r="C9" s="3" t="str">
        <x:v>Deep ocean</x:v>
      </x:c>
      <x:c r="D9" s="12" t="n">
        <x:v>336000000000000</x:v>
      </x:c>
      <x:c r="E9" s="12" t="n">
        <x:v>1290000000000000000</x:v>
      </x:c>
      <x:c r="F9" s="13" t="n">
        <x:v>2</x:v>
      </x:c>
      <x:c r="G9" s="13" t="n">
        <x:v>35</x:v>
      </x:c>
      <x:c r="H9" s="13" t="n">
        <x:v>240</x:v>
      </x:c>
      <x:c r="I9" s="13" t="n">
        <x:v>2291</x:v>
      </x:c>
      <x:c r="J9" s="13" t="n">
        <x:v>2399</x:v>
      </x:c>
    </x:row>
    <x:row r="10" ht="23" customHeight="1"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23" customHeight="1"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23" customHeight="1">
      <x:c r="B12" s="4" t="str">
        <x:v>Atmosphere</x:v>
      </x:c>
      <x:c r="C12" s="3"/>
      <x:c r="D12" s="3"/>
      <x:c r="E12" s="3"/>
      <x:c r="F12" s="3"/>
      <x:c r="G12" s="3"/>
      <x:c r="H12" s="3"/>
      <x:c r="I12" s="3"/>
      <x:c r="J12" s="3"/>
    </x:row>
    <x:row r="13" ht="23" customHeight="1"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30" customHeight="1">
      <x:c r="B14" s="10" t="str">
        <x:v>Box ID</x:v>
      </x:c>
      <x:c r="C14" s="10" t="str">
        <x:v>Total air (mol)</x:v>
      </x:c>
      <x:c r="D14" s="10" t="str">
        <x:v>Initial CO2 (ppm)</x:v>
      </x:c>
      <x:c r="E14" s="10" t="str">
        <x:v>Role</x:v>
      </x:c>
      <x:c r="F14" s="3"/>
      <x:c r="G14" s="3"/>
      <x:c r="H14" s="3"/>
      <x:c r="I14" s="3"/>
      <x:c r="J14" s="3"/>
    </x:row>
    <x:row r="15" ht="23" customHeight="1">
      <x:c r="B15" s="3" t="str">
        <x:v>CO2_At</x:v>
      </x:c>
      <x:c r="C15" s="14" t="n">
        <x:v>177860000000000000000</x:v>
      </x:c>
      <x:c r="D15" s="13" t="n">
        <x:v>280</x:v>
      </x:c>
      <x:c r="E15" s="3" t="str">
        <x:v>Prognostic CO2</x:v>
      </x:c>
      <x:c r="F15" s="3"/>
      <x:c r="G15" s="3"/>
      <x:c r="H15" s="3"/>
      <x:c r="I15" s="3"/>
      <x:c r="J15" s="3"/>
    </x:row>
    <x:row r="16" ht="23" customHeight="1"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23" customHeight="1">
      <x:c r="B17" s="3"/>
      <x:c r="C17" s="3"/>
      <x:c r="D17" s="3"/>
      <x:c r="E17" s="3"/>
      <x:c r="F17" s="3"/>
      <x:c r="G17" s="3"/>
      <x:c r="H17" s="3"/>
      <x:c r="I17" s="3"/>
      <x:c r="J17" s="3"/>
    </x:row>
    <x:row r="18" ht="23" customHeight="1">
      <x:c r="B18" s="4" t="str">
        <x:v>Using these inputs</x:v>
      </x:c>
      <x:c r="C18" s="3"/>
      <x:c r="D18" s="3"/>
      <x:c r="E18" s="3"/>
      <x:c r="F18" s="3"/>
      <x:c r="G18" s="3"/>
      <x:c r="H18" s="3"/>
      <x:c r="I18" s="3"/>
      <x:c r="J18" s="3"/>
    </x:row>
    <x:row r="19" ht="23" customHeight="1">
      <x:c r="B19" s="3" t="str">
        <x:v>Edit numeric inputs in amber. Save Excel and rerun notebook setup and all dependent cells.</x:v>
      </x:c>
      <x:c r="C19" s="3"/>
      <x:c r="D19" s="3"/>
      <x:c r="E19" s="3"/>
      <x:c r="F19" s="3"/>
      <x:c r="G19" s="3"/>
      <x:c r="H19" s="3"/>
      <x:c r="I19" s="3"/>
      <x:c r="J19" s="3"/>
    </x:row>
    <x:row r="20" ht="23" customHeight="1">
      <x:c r="B20" s="3" t="str">
        <x:v>Keep table names, column units and box IDs. Input cells require literal numbers. Derived fluxes are shown on Parameters.</x:v>
      </x:c>
      <x:c r="C20" s="3"/>
      <x:c r="D20" s="3"/>
      <x:c r="E20" s="3"/>
      <x:c r="F20" s="3"/>
      <x:c r="G20" s="3"/>
      <x:c r="H20" s="3"/>
      <x:c r="I20" s="3"/>
      <x:c r="J20" s="3"/>
    </x:row>
    <x:row r="21" ht="23" customHeight="1">
      <x:c r="B21" s="3" t="str">
        <x:v>Reservoirs defines boxes and boundaries. Transport and GasExchange define arrows. Parameters supplies their rates and settings.</x:v>
      </x:c>
      <x:c r="C21" s="3"/>
      <x:c r="D21" s="3"/>
      <x:c r="E21" s="3"/>
      <x:c r="F21" s="3"/>
      <x:c r="G21" s="3"/>
      <x:c r="H21" s="3"/>
      <x:c r="I21" s="3"/>
      <x:c r="J21" s="3"/>
    </x:row>
    <x:row r="22" ht="23" customHeight="1">
      <x:c r="B22" s="3" t="str">
        <x:v>Geometry uses the explicit areas and volumes above. Density and water mass are calculated by ESBMTK in the notebooks.</x:v>
      </x:c>
      <x:c r="C22" s="3"/>
      <x:c r="D22" s="3"/>
      <x:c r="E22" s="3"/>
      <x:c r="F22" s="3"/>
      <x:c r="G22" s="3"/>
      <x:c r="H22" s="3"/>
      <x:c r="I22" s="3"/>
      <x:c r="J22" s="3"/>
    </x:row>
    <x:row r="23" ht="23" customHeight="1">
      <x:c r="B23" s="3" t="str">
        <x:v>The adapter preserves this benchmark geometry. No area fractions or depth-based geometry conversion are needed.</x:v>
      </x:c>
      <x:c r="C23" s="3"/>
      <x:c r="D23" s="3"/>
      <x:c r="E23" s="3"/>
      <x:c r="F23" s="3"/>
      <x:c r="G23" s="3"/>
      <x:c r="H23" s="3"/>
      <x:c r="I23" s="3"/>
      <x:c r="J23" s="3"/>
    </x:row>
    <x:row r="24" ht="23" customHeight="1">
      <x:c r="B24" s="3" t="str">
        <x:v>The archived restart replaces initial concentrations in 03 and the complete-model runs of 04. Part I of 04 uses these initial values.</x:v>
      </x:c>
      <x:c r="C24" s="3"/>
      <x:c r="D24" s="3"/>
      <x:c r="E24" s="3"/>
      <x:c r="F24" s="3"/>
      <x:c r="G24" s="3"/>
      <x:c r="H24" s="3"/>
      <x:c r="I24" s="3"/>
      <x:c r="J24" s="3"/>
    </x:row>
    <x:row r="25" ht="23" customHeight="1">
      <x:c r="B25" s="3" t="str">
        <x:v>Keep the supplied baseline for reproduction. Changed geometry, chemistry or process rates requires a new stationary restart.</x:v>
      </x:c>
      <x:c r="C25" s="3"/>
      <x:c r="D25" s="3"/>
      <x:c r="E25" s="3"/>
      <x:c r="F25" s="3"/>
      <x:c r="G25" s="3"/>
      <x:c r="H25" s="3"/>
      <x:c r="I25" s="3"/>
      <x:c r="J25" s="3"/>
    </x:row>
    <x:row r="26" ht="23" customHeight="1">
      <x:c r="B26" s="3" t="str">
        <x:v>Forcing controls and feedback switches remain in notebook 04. Process equations and all conservation checks remain visible.</x:v>
      </x:c>
      <x:c r="C26" s="3"/>
      <x:c r="D26" s="3"/>
      <x:c r="E26" s="3"/>
      <x:c r="F26" s="3"/>
      <x:c r="G26" s="3"/>
      <x:c r="H26" s="3"/>
      <x:c r="I26" s="3"/>
      <x:c r="J26" s="3"/>
    </x:row>
    <x:row r="28" ht="23" customHeight="1">
      <x:c r="B28" s="15" t="str">
        <x:v>Boundary nodes</x:v>
      </x:c>
      <x:c r="C28" s="1"/>
      <x:c r="D28" s="1"/>
      <x:c r="E28" s="1"/>
      <x:c r="F28" s="1"/>
      <x:c r="G28" s="1"/>
      <x:c r="H28" s="1"/>
      <x:c r="I28" s="1"/>
      <x:c r="J28" s="1"/>
    </x:row>
    <x:row r="29" ht="23" customHeight="1"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30" customHeight="1">
      <x:c r="B30" s="18" t="str">
        <x:v>Box ID</x:v>
      </x:c>
      <x:c r="C30" s="18" t="str">
        <x:v>Type</x:v>
      </x:c>
      <x:c r="D30" s="18" t="str">
        <x:v>Species</x:v>
      </x:c>
      <x:c r="E30" s="18" t="str">
        <x:v>Role</x:v>
      </x:c>
      <x:c r="F30" s="1"/>
      <x:c r="G30" s="1"/>
      <x:c r="H30" s="1"/>
      <x:c r="I30" s="1"/>
      <x:c r="J30" s="1"/>
    </x:row>
    <x:row r="31" ht="34" customHeight="1">
      <x:c r="B31" s="1" t="str">
        <x:v>Fw</x:v>
      </x:c>
      <x:c r="C31" s="1" t="str">
        <x:v>Source</x:v>
      </x:c>
      <x:c r="D31" s="1" t="str">
        <x:v>DIC, TA</x:v>
      </x:c>
      <x:c r="E31" s="19" t="str">
        <x:v>External weathering supply</x:v>
      </x:c>
      <x:c r="F31" s="1"/>
      <x:c r="G31" s="1"/>
      <x:c r="H31" s="1"/>
      <x:c r="I31" s="1"/>
      <x:c r="J31" s="1"/>
    </x:row>
    <x:row r="32" ht="34" customHeight="1">
      <x:c r="B32" s="1" t="str">
        <x:v>Fb</x:v>
      </x:c>
      <x:c r="C32" s="1" t="str">
        <x:v>Sink</x:v>
      </x:c>
      <x:c r="D32" s="1" t="str">
        <x:v>DIC, TA</x:v>
      </x:c>
      <x:c r="E32" s="19" t="str">
        <x:v>Permanent burial boundary</x:v>
      </x:c>
      <x:c r="F32" s="1"/>
      <x:c r="G32" s="1"/>
      <x:c r="H32" s="1"/>
      <x:c r="I32" s="1"/>
      <x:c r="J32" s="1"/>
    </x:row>
    <x:row r="33" ht="23" customHeight="1"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B34" s="1" t="str">
        <x:v>Boundary nodes have no water volume. Carbonate-system dissolution and burial remain calculated processes.</x:v>
      </x:c>
      <x:c r="C34" s="1"/>
      <x:c r="D34" s="1"/>
      <x:c r="E34" s="1"/>
      <x:c r="F34" s="1"/>
      <x:c r="G34" s="1"/>
      <x:c r="H34" s="1"/>
      <x:c r="I34" s="1"/>
      <x:c r="J34" s="1"/>
    </x:row>
  </x:sheetData>
  <x:pageMargins left="0.7" right="0.7" top="0.75" bottom="0.75" header="0.3" footer="0.3"/>
  <x:tableParts count="3">
    <x:tablePart xmlns:r="http://schemas.openxmlformats.org/officeDocument/2006/relationships" r:id="R2790c280850d465a"/>
    <x:tablePart xmlns:r="http://schemas.openxmlformats.org/officeDocument/2006/relationships" r:id="R3a33841866644240"/>
    <x:tablePart xmlns:r="http://schemas.openxmlformats.org/officeDocument/2006/relationships" r:id="Rd59fc6155aff4b61"/>
  </x:tableParts>
</x:worksheet>
</file>

<file path=xl/worksheets/sheet2.xml><?xml version="1.0" encoding="utf-8"?>
<x:worksheet xmlns:x="http://schemas.openxmlformats.org/spreadsheetml/2006/main">
  <x:sheetPr>
    <x:tabColor rgb="FF355C7D"/>
  </x:sheetPr>
  <x:sheetViews>
    <x:sheetView showGridLines="0" workbookViewId="0"/>
  </x:sheetViews>
  <x:sheetFormatPr defaultRowHeight="15"/>
  <x:cols>
    <x:col min="1" max="1" width="3" hidden="0" customWidth="1"/>
    <x:col min="2" max="2" width="10" hidden="0" customWidth="1"/>
    <x:col min="3" max="3" width="15" hidden="0" customWidth="1"/>
    <x:col min="4" max="4" width="15" hidden="0" customWidth="1"/>
    <x:col min="5" max="5" width="22" hidden="0" customWidth="1"/>
    <x:col min="6" max="6" width="25" hidden="0" customWidth="1"/>
    <x:col min="7" max="7" width="23" hidden="0" customWidth="1"/>
  </x:cols>
  <x:sheetData>
    <x:row r="2" ht="24" customHeight="1">
      <x:c r="B2" s="22" t="str">
        <x:v>Circulation and mixing</x:v>
      </x:c>
      <x:c r="C2" s="23"/>
      <x:c r="D2" s="23"/>
      <x:c r="E2" s="23"/>
      <x:c r="F2" s="23"/>
      <x:c r="G2" s="23"/>
    </x:row>
    <x:row r="3" ht="24" customHeight="1">
      <x:c r="B3" s="21" t="str">
        <x:v>Each row is one directed arrow. Both DIC and TA travel with the source water.</x:v>
      </x:c>
      <x:c r="C3" s="2"/>
      <x:c r="D3" s="2"/>
      <x:c r="E3" s="2"/>
      <x:c r="F3" s="2"/>
      <x:c r="G3" s="2"/>
    </x:row>
    <x:row r="4" ht="24" customHeight="1">
      <x:c r="B4" s="21" t="str">
        <x:v>Source: preserved ESBMTK Boudreau benchmark and teaching-model settings.</x:v>
      </x:c>
      <x:c r="C4" s="2"/>
      <x:c r="D4" s="2"/>
      <x:c r="E4" s="2"/>
      <x:c r="F4" s="2"/>
      <x:c r="G4" s="2"/>
    </x:row>
    <x:row r="5" ht="24" customHeight="1">
      <x:c r="B5" s="2"/>
      <x:c r="C5" s="2"/>
      <x:c r="D5" s="2"/>
      <x:c r="E5" s="2"/>
      <x:c r="F5" s="2"/>
      <x:c r="G5" s="2"/>
    </x:row>
    <x:row r="6" ht="30" customHeight="1">
      <x:c r="B6" s="26" t="str">
        <x:v>Order</x:v>
      </x:c>
      <x:c r="C6" s="26" t="str">
        <x:v>source</x:v>
      </x:c>
      <x:c r="D6" s="26" t="str">
        <x:v>sink</x:v>
      </x:c>
      <x:c r="E6" s="26" t="str">
        <x:v>flux_id</x:v>
      </x:c>
      <x:c r="F6" s="26" t="str">
        <x:v>Parameter</x:v>
      </x:c>
      <x:c r="G6" s="26" t="str">
        <x:v>Species</x:v>
      </x:c>
    </x:row>
    <x:row r="7" ht="24" customHeight="1">
      <x:c r="B7" s="2" t="n">
        <x:v>1</x:v>
      </x:c>
      <x:c r="C7" s="2" t="str">
        <x:v>H_b</x:v>
      </x:c>
      <x:c r="D7" s="2" t="str">
        <x:v>D_b</x:v>
      </x:c>
      <x:c r="E7" s="2" t="str">
        <x:v>mix_down</x:v>
      </x:c>
      <x:c r="F7" s="2" t="str">
        <x:v>mixing</x:v>
      </x:c>
      <x:c r="G7" s="2" t="str">
        <x:v>DIC, TA</x:v>
      </x:c>
    </x:row>
    <x:row r="8" ht="24" customHeight="1">
      <x:c r="B8" s="2" t="n">
        <x:v>2</x:v>
      </x:c>
      <x:c r="C8" s="2" t="str">
        <x:v>D_b</x:v>
      </x:c>
      <x:c r="D8" s="2" t="str">
        <x:v>H_b</x:v>
      </x:c>
      <x:c r="E8" s="2" t="str">
        <x:v>mix_up</x:v>
      </x:c>
      <x:c r="F8" s="2" t="str">
        <x:v>mixing</x:v>
      </x:c>
      <x:c r="G8" s="2" t="str">
        <x:v>DIC, TA</x:v>
      </x:c>
    </x:row>
    <x:row r="9" ht="24" customHeight="1">
      <x:c r="B9" s="2" t="n">
        <x:v>3</x:v>
      </x:c>
      <x:c r="C9" s="2" t="str">
        <x:v>L_b</x:v>
      </x:c>
      <x:c r="D9" s="2" t="str">
        <x:v>H_b</x:v>
      </x:c>
      <x:c r="E9" s="2" t="str">
        <x:v>thc</x:v>
      </x:c>
      <x:c r="F9" s="2" t="str">
        <x:v>thc</x:v>
      </x:c>
      <x:c r="G9" s="2" t="str">
        <x:v>DIC, TA</x:v>
      </x:c>
    </x:row>
    <x:row r="10" ht="24" customHeight="1">
      <x:c r="B10" s="2" t="n">
        <x:v>4</x:v>
      </x:c>
      <x:c r="C10" s="2" t="str">
        <x:v>H_b</x:v>
      </x:c>
      <x:c r="D10" s="2" t="str">
        <x:v>D_b</x:v>
      </x:c>
      <x:c r="E10" s="2" t="str">
        <x:v>thc</x:v>
      </x:c>
      <x:c r="F10" s="2" t="str">
        <x:v>thc</x:v>
      </x:c>
      <x:c r="G10" s="2" t="str">
        <x:v>DIC, TA</x:v>
      </x:c>
    </x:row>
    <x:row r="11" ht="24" customHeight="1">
      <x:c r="B11" s="2" t="n">
        <x:v>5</x:v>
      </x:c>
      <x:c r="C11" s="2" t="str">
        <x:v>D_b</x:v>
      </x:c>
      <x:c r="D11" s="2" t="str">
        <x:v>L_b</x:v>
      </x:c>
      <x:c r="E11" s="2" t="str">
        <x:v>thc</x:v>
      </x:c>
      <x:c r="F11" s="2" t="str">
        <x:v>thc</x:v>
      </x:c>
      <x:c r="G11" s="2" t="str">
        <x:v>DIC, TA</x:v>
      </x:c>
    </x:row>
    <x:row r="12" ht="24" customHeight="1">
      <x:c r="B12" s="2"/>
      <x:c r="C12" s="2"/>
      <x:c r="D12" s="2"/>
      <x:c r="E12" s="2"/>
      <x:c r="F12" s="2"/>
      <x:c r="G12" s="2"/>
    </x:row>
    <x:row r="13" ht="24" customHeight="1">
      <x:c r="B13" s="2"/>
      <x:c r="C13" s="2"/>
      <x:c r="D13" s="2"/>
      <x:c r="E13" s="2"/>
      <x:c r="F13" s="2"/>
      <x:c r="G13" s="2"/>
    </x:row>
    <x:row r="14" ht="24" customHeight="1">
      <x:c r="B14" s="2" t="str">
        <x:v>Parameter names refer to Parameters. Both mixing directions are listed explicitly.</x:v>
      </x:c>
      <x:c r="C14" s="2"/>
      <x:c r="D14" s="2"/>
      <x:c r="E14" s="2"/>
      <x:c r="F14" s="2"/>
      <x:c r="G14" s="2"/>
    </x:row>
    <x:row r="15" ht="24" customHeight="1">
      <x:c r="B15" s="2" t="str">
        <x:v>Order preserves benchmark construction order when the table is sorted. Every box must balance incoming and outgoing water.</x:v>
      </x:c>
      <x:c r="C15" s="2"/>
      <x:c r="D15" s="2"/>
      <x:c r="E15" s="2"/>
      <x:c r="F15" s="2"/>
      <x:c r="G15" s="2"/>
    </x:row>
    <x:row r="16" ht="24" customHeight="1">
      <x:c r="B16" s="2" t="str">
        <x:v>The adapter uses create_bulk_connections with the benchmark transport-unit convention explained in notebook 03.</x:v>
      </x:c>
      <x:c r="C16" s="2"/>
      <x:c r="D16" s="2"/>
      <x:c r="E16" s="2"/>
      <x:c r="F16" s="2"/>
      <x:c r="G16" s="2"/>
    </x:row>
    <x:row r="17" ht="24" customHeight="1">
      <x:c r="B17" s="2"/>
      <x:c r="C17" s="2"/>
      <x:c r="D17" s="2"/>
      <x:c r="E17" s="2"/>
      <x:c r="F17" s="2"/>
      <x:c r="G17" s="2"/>
    </x:row>
    <x:row r="18" ht="24" customHeight="1">
      <x:c r="B18" s="2"/>
      <x:c r="C18" s="2"/>
      <x:c r="D18" s="2"/>
      <x:c r="E18" s="2"/>
      <x:c r="F18" s="2"/>
      <x:c r="G18" s="2"/>
    </x:row>
    <x:row r="19" ht="24" customHeight="1">
      <x:c r="B19" s="2"/>
      <x:c r="C19" s="2"/>
      <x:c r="D19" s="2"/>
      <x:c r="E19" s="2"/>
      <x:c r="F19" s="2"/>
      <x:c r="G19" s="2"/>
    </x:row>
  </x:sheetData>
  <x:pageMargins left="0.7" right="0.7" top="0.75" bottom="0.75" header="0.3" footer="0.3"/>
  <x:tableParts count="1">
    <x:tablePart xmlns:r="http://schemas.openxmlformats.org/officeDocument/2006/relationships" r:id="Raafc62bef3e74ebc"/>
  </x:tableParts>
</x:worksheet>
</file>

<file path=xl/worksheets/sheet3.xml><?xml version="1.0" encoding="utf-8"?>
<x:worksheet xmlns:x="http://schemas.openxmlformats.org/spreadsheetml/2006/main">
  <x:sheetPr>
    <x:tabColor rgb="FF355C7D"/>
  </x:sheetPr>
  <x:sheetViews>
    <x:sheetView showGridLines="0" workbookViewId="0"/>
  </x:sheetViews>
  <x:sheetFormatPr defaultRowHeight="15"/>
  <x:cols>
    <x:col min="1" max="1" width="3" hidden="0" customWidth="1"/>
    <x:col min="2" max="2" width="10" hidden="0" customWidth="1"/>
    <x:col min="3" max="3" width="22" hidden="0" customWidth="1"/>
    <x:col min="4" max="4" width="20" hidden="0" customWidth="1"/>
    <x:col min="5" max="5" width="15" hidden="0" customWidth="1"/>
    <x:col min="6" max="6" width="28" hidden="0" customWidth="1"/>
  </x:cols>
  <x:sheetData>
    <x:row r="2" ht="24" customHeight="1">
      <x:c r="B2" s="22" t="str">
        <x:v>Atmosphere–ocean connections</x:v>
      </x:c>
      <x:c r="C2" s="23"/>
      <x:c r="D2" s="23"/>
      <x:c r="E2" s="23"/>
      <x:c r="F2" s="23"/>
    </x:row>
    <x:row r="3" ht="24" customHeight="1">
      <x:c r="B3" s="21" t="str">
        <x:v>CO2 exchange connects each surface box to the common atmosphere. Its direction follows CO2 disequilibrium.</x:v>
      </x:c>
      <x:c r="C3" s="2"/>
      <x:c r="D3" s="2"/>
      <x:c r="E3" s="2"/>
      <x:c r="F3" s="2"/>
    </x:row>
    <x:row r="4" ht="24" customHeight="1">
      <x:c r="B4" s="21" t="str">
        <x:v>Source: preserved ESBMTK Boudreau benchmark and teaching-model settings.</x:v>
      </x:c>
      <x:c r="C4" s="2"/>
      <x:c r="D4" s="2"/>
      <x:c r="E4" s="2"/>
      <x:c r="F4" s="2"/>
    </x:row>
    <x:row r="5" ht="24" customHeight="1">
      <x:c r="B5" s="2"/>
      <x:c r="C5" s="2"/>
      <x:c r="D5" s="2"/>
      <x:c r="E5" s="2"/>
      <x:c r="F5" s="2"/>
    </x:row>
    <x:row r="6" ht="30" customHeight="1">
      <x:c r="B6" s="26" t="str">
        <x:v>Order</x:v>
      </x:c>
      <x:c r="C6" s="26" t="str">
        <x:v>Atmosphere</x:v>
      </x:c>
      <x:c r="D6" s="26" t="str">
        <x:v>Surface</x:v>
      </x:c>
      <x:c r="E6" s="26" t="str">
        <x:v>Species</x:v>
      </x:c>
      <x:c r="F6" s="26" t="str">
        <x:v>Parameter</x:v>
      </x:c>
    </x:row>
    <x:row r="7" ht="24" customHeight="1">
      <x:c r="B7" s="2" t="n">
        <x:v>1</x:v>
      </x:c>
      <x:c r="C7" s="2" t="str">
        <x:v>CO2_At</x:v>
      </x:c>
      <x:c r="D7" s="2" t="str">
        <x:v>H_b</x:v>
      </x:c>
      <x:c r="E7" s="2" t="str">
        <x:v>CO2</x:v>
      </x:c>
      <x:c r="F7" s="2" t="str">
        <x:v>piston_velocity</x:v>
      </x:c>
    </x:row>
    <x:row r="8" ht="24" customHeight="1">
      <x:c r="B8" s="2" t="n">
        <x:v>2</x:v>
      </x:c>
      <x:c r="C8" s="2" t="str">
        <x:v>CO2_At</x:v>
      </x:c>
      <x:c r="D8" s="2" t="str">
        <x:v>L_b</x:v>
      </x:c>
      <x:c r="E8" s="2" t="str">
        <x:v>CO2</x:v>
      </x:c>
      <x:c r="F8" s="2" t="str">
        <x:v>piston_velocity</x:v>
      </x:c>
    </x:row>
    <x:row r="9" ht="24" customHeight="1">
      <x:c r="B9" s="2"/>
      <x:c r="C9" s="2"/>
      <x:c r="D9" s="2"/>
      <x:c r="E9" s="2"/>
      <x:c r="F9" s="2"/>
    </x:row>
    <x:row r="10" ht="24" customHeight="1">
      <x:c r="B10" s="2"/>
      <x:c r="C10" s="2"/>
      <x:c r="D10" s="2"/>
      <x:c r="E10" s="2"/>
      <x:c r="F10" s="2"/>
    </x:row>
    <x:row r="11" ht="24" customHeight="1">
      <x:c r="B11" s="2" t="str">
        <x:v>Piston velocity is supplied once on Parameters in m/d. Surface area and seawater properties come from Reservoirs.</x:v>
      </x:c>
      <x:c r="C11" s="2"/>
      <x:c r="D11" s="2"/>
      <x:c r="E11" s="2"/>
      <x:c r="F11" s="2"/>
    </x:row>
    <x:row r="12" ht="24" customHeight="1">
      <x:c r="B12" s="2" t="str">
        <x:v>This table defines the two gas-exchange arrows. Carbonate chemistry is initialized before these connections.</x:v>
      </x:c>
      <x:c r="C12" s="2"/>
      <x:c r="D12" s="2"/>
      <x:c r="E12" s="2"/>
      <x:c r="F12" s="2"/>
    </x:row>
    <x:row r="13" ht="24" customHeight="1">
      <x:c r="B13" s="2"/>
      <x:c r="C13" s="2"/>
      <x:c r="D13" s="2"/>
      <x:c r="E13" s="2"/>
      <x:c r="F13" s="2"/>
    </x:row>
    <x:row r="14" ht="24" customHeight="1">
      <x:c r="B14" s="2"/>
      <x:c r="C14" s="2"/>
      <x:c r="D14" s="2"/>
      <x:c r="E14" s="2"/>
      <x:c r="F14" s="2"/>
    </x:row>
    <x:row r="15" ht="24" customHeight="1">
      <x:c r="B15" s="2"/>
      <x:c r="C15" s="2"/>
      <x:c r="D15" s="2"/>
      <x:c r="E15" s="2"/>
      <x:c r="F15" s="2"/>
    </x:row>
    <x:row r="16" ht="24" customHeight="1">
      <x:c r="B16" s="2"/>
      <x:c r="C16" s="2"/>
      <x:c r="D16" s="2"/>
      <x:c r="E16" s="2"/>
      <x:c r="F16" s="2"/>
    </x:row>
  </x:sheetData>
  <x:pageMargins left="0.7" right="0.7" top="0.75" bottom="0.75" header="0.3" footer="0.3"/>
  <x:tableParts count="1">
    <x:tablePart xmlns:r="http://schemas.openxmlformats.org/officeDocument/2006/relationships" r:id="Rbb70236dc3f04fef"/>
  </x:tableParts>
</x:worksheet>
</file>

<file path=xl/worksheets/sheet4.xml><?xml version="1.0" encoding="utf-8"?>
<x:worksheet xmlns:x="http://schemas.openxmlformats.org/spreadsheetml/2006/main">
  <x:sheetPr>
    <x:tabColor rgb="FF355C7D"/>
  </x:sheetPr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25" hidden="0" customWidth="1"/>
    <x:col min="4" max="4" width="17" hidden="0" customWidth="1"/>
    <x:col min="5" max="5" width="34" hidden="0" customWidth="1"/>
    <x:col min="6" max="6" width="85" hidden="0" customWidth="1"/>
  </x:cols>
  <x:sheetData>
    <x:row r="2" ht="24" customHeight="1">
      <x:c r="B2" s="22" t="str">
        <x:v>Process and chemistry parameters</x:v>
      </x:c>
      <x:c r="C2" s="23"/>
      <x:c r="D2" s="23"/>
      <x:c r="E2" s="23"/>
      <x:c r="F2" s="23"/>
    </x:row>
    <x:row r="3" ht="24" customHeight="1">
      <x:c r="B3" s="21" t="str">
        <x:v>Prescribed inputs and feedback hypotheses. These values are not independent predictions of the model.</x:v>
      </x:c>
      <x:c r="C3" s="2"/>
      <x:c r="D3" s="2"/>
      <x:c r="E3" s="2"/>
      <x:c r="F3" s="2"/>
    </x:row>
    <x:row r="4" ht="24" customHeight="1">
      <x:c r="B4" s="21" t="str">
        <x:v>Source: preserved ESBMTK Boudreau benchmark and teaching-model settings.</x:v>
      </x:c>
      <x:c r="C4" s="2"/>
      <x:c r="D4" s="2"/>
      <x:c r="E4" s="2"/>
      <x:c r="F4" s="2"/>
    </x:row>
    <x:row r="5" ht="24" customHeight="1">
      <x:c r="B5" s="2"/>
      <x:c r="C5" s="2"/>
      <x:c r="D5" s="2"/>
      <x:c r="E5" s="2"/>
      <x:c r="F5" s="2"/>
    </x:row>
    <x:row r="6" ht="30" customHeight="1">
      <x:c r="B6" s="26" t="str">
        <x:v>Parameter</x:v>
      </x:c>
      <x:c r="C6" s="26" t="str">
        <x:v>Value</x:v>
      </x:c>
      <x:c r="D6" s="26" t="str">
        <x:v>Unit</x:v>
      </x:c>
      <x:c r="E6" s="26" t="str">
        <x:v>Role</x:v>
      </x:c>
      <x:c r="F6" s="26" t="str">
        <x:v>Description</x:v>
      </x:c>
    </x:row>
    <x:row r="7" ht="24" customHeight="1">
      <x:c r="B7" s="2" t="str">
        <x:v>thc</x:v>
      </x:c>
      <x:c r="C7" s="28" t="n">
        <x:v>25</x:v>
      </x:c>
      <x:c r="D7" s="2" t="str">
        <x:v>Sverdrup</x:v>
      </x:c>
      <x:c r="E7" s="2" t="str">
        <x:v>Prescribed transport</x:v>
      </x:c>
      <x:c r="F7" s="2" t="str">
        <x:v>Water transport on every leg of the overturning loop</x:v>
      </x:c>
    </x:row>
    <x:row r="8" ht="24" customHeight="1">
      <x:c r="B8" s="2" t="str">
        <x:v>mixing</x:v>
      </x:c>
      <x:c r="C8" s="28" t="n">
        <x:v>30</x:v>
      </x:c>
      <x:c r="D8" s="2" t="str">
        <x:v>Sverdrup</x:v>
      </x:c>
      <x:c r="E8" s="2" t="str">
        <x:v>Prescribed transport</x:v>
      </x:c>
      <x:c r="F8" s="2" t="str">
        <x:v>Equal exchange in both directions between high latitude and depth</x:v>
      </x:c>
    </x:row>
    <x:row r="9" ht="24" customHeight="1">
      <x:c r="B9" s="2" t="str">
        <x:v>poc_export</x:v>
      </x:c>
      <x:c r="C9" s="28" t="n">
        <x:v>200</x:v>
      </x:c>
      <x:c r="D9" s="2" t="str">
        <x:v>Tmol/yr</x:v>
      </x:c>
      <x:c r="E9" s="2" t="str">
        <x:v>Prescribed export</x:v>
      </x:c>
      <x:c r="F9" s="2" t="str">
        <x:v>POC carbon export from low-latitude surface to depth</x:v>
      </x:c>
    </x:row>
    <x:row r="10" ht="24" customHeight="1">
      <x:c r="B10" s="2" t="str">
        <x:v>rain_ratio</x:v>
      </x:c>
      <x:c r="C10" s="28" t="n">
        <x:v>0.3</x:v>
      </x:c>
      <x:c r="D10" s="2" t="str">
        <x:v>1</x:v>
      </x:c>
      <x:c r="E10" s="2" t="str">
        <x:v>Prescribed ratio</x:v>
      </x:c>
      <x:c r="F10" s="2" t="str">
        <x:v>PIC/POC carbon-export ratio at unit pump strengths</x:v>
      </x:c>
    </x:row>
    <x:row r="11" ht="24" customHeight="1">
      <x:c r="B11" s="2" t="str">
        <x:v>weathering_dic</x:v>
      </x:c>
      <x:c r="C11" s="28" t="n">
        <x:v>12</x:v>
      </x:c>
      <x:c r="D11" s="2" t="str">
        <x:v>Tmol/yr</x:v>
      </x:c>
      <x:c r="E11" s="2" t="str">
        <x:v>Prescribed boundary flux</x:v>
      </x:c>
      <x:c r="F11" s="2" t="str">
        <x:v>Carbonate weathering: one DIC and two TA equivalents per mole</x:v>
      </x:c>
    </x:row>
    <x:row r="12" ht="24" customHeight="1">
      <x:c r="B12" s="2" t="str">
        <x:v>alpha</x:v>
      </x:c>
      <x:c r="C12" s="28" t="n">
        <x:v>0.6</x:v>
      </x:c>
      <x:c r="D12" s="2" t="str">
        <x:v>1</x:v>
      </x:c>
      <x:c r="E12" s="2" t="str">
        <x:v>Benchmark coefficient</x:v>
      </x:c>
      <x:c r="F12" s="2" t="str">
        <x:v>Carbonate compensation coefficient</x:v>
      </x:c>
    </x:row>
    <x:row r="13" ht="24" customHeight="1">
      <x:c r="B13" s="2" t="str">
        <x:v>z0</x:v>
      </x:c>
      <x:c r="C13" s="28" t="n">
        <x:v>-200</x:v>
      </x:c>
      <x:c r="D13" s="2" t="str">
        <x:v>m</x:v>
      </x:c>
      <x:c r="E13" s="2" t="str">
        <x:v>Benchmark elevation</x:v>
      </x:c>
      <x:c r="F13" s="2" t="str">
        <x:v>Carbonate compensation reference elevation</x:v>
      </x:c>
    </x:row>
    <x:row r="14" ht="24" customHeight="1">
      <x:c r="B14" s="2" t="str">
        <x:v>piston_velocity</x:v>
      </x:c>
      <x:c r="C14" s="28" t="n">
        <x:v>4.8</x:v>
      </x:c>
      <x:c r="D14" s="2" t="str">
        <x:v>m/d</x:v>
      </x:c>
      <x:c r="E14" s="2" t="str">
        <x:v>Prescribed exchange rate</x:v>
      </x:c>
      <x:c r="F14" s="2" t="str">
        <x:v>Common gas transfer velocity at both surface boxes</x:v>
      </x:c>
    </x:row>
    <x:row r="15" ht="24" customHeight="1">
      <x:c r="B15" s="2" t="str">
        <x:v>opt_k_carbonic</x:v>
      </x:c>
      <x:c r="C15" s="28" t="n">
        <x:v>13</x:v>
      </x:c>
      <x:c r="D15" s="2" t="str">
        <x:v>1</x:v>
      </x:c>
      <x:c r="E15" s="2" t="str">
        <x:v>Chemistry choice</x:v>
      </x:c>
      <x:c r="F15" s="2" t="str">
        <x:v>PyCO2SYS carbonic-acid constant option</x:v>
      </x:c>
    </x:row>
    <x:row r="16" ht="24" customHeight="1">
      <x:c r="B16" s="2" t="str">
        <x:v>opt_pH_scale</x:v>
      </x:c>
      <x:c r="C16" s="28" t="n">
        <x:v>3</x:v>
      </x:c>
      <x:c r="D16" s="2" t="str">
        <x:v>1</x:v>
      </x:c>
      <x:c r="E16" s="2" t="str">
        <x:v>Chemistry choice</x:v>
      </x:c>
      <x:c r="F16" s="2" t="str">
        <x:v>PyCO2SYS pH scale option</x:v>
      </x:c>
    </x:row>
    <x:row r="17" ht="24" customHeight="1">
      <x:c r="B17" s="2" t="str">
        <x:v>soft_reference</x:v>
      </x:c>
      <x:c r="C17" s="29" t="n">
        <x:v>269.9097204238638</x:v>
      </x:c>
      <x:c r="D17" s="2" t="str">
        <x:v>ppm</x:v>
      </x:c>
      <x:c r="E17" s="2" t="str">
        <x:v>Reference-state normalization</x:v>
      </x:c>
      <x:c r="F17" s="2" t="str">
        <x:v>Archived restart atmospheric CO2 for the optional feedback</x:v>
      </x:c>
    </x:row>
    <x:row r="18" ht="24" customHeight="1">
      <x:c r="B18" s="2" t="str">
        <x:v>soft_half_saturation</x:v>
      </x:c>
      <x:c r="C18" s="28" t="n">
        <x:v>280</x:v>
      </x:c>
      <x:c r="D18" s="2" t="str">
        <x:v>ppm</x:v>
      </x:c>
      <x:c r="E18" s="2" t="str">
        <x:v>Feedback hypothesis</x:v>
      </x:c>
      <x:c r="F18" s="2" t="str">
        <x:v>Half-saturation concentration for the soft-tissue response</x:v>
      </x:c>
    </x:row>
    <x:row r="19" ht="24" customHeight="1">
      <x:c r="B19" s="2" t="str">
        <x:v>soft_exponent</x:v>
      </x:c>
      <x:c r="C19" s="28" t="n">
        <x:v>1</x:v>
      </x:c>
      <x:c r="D19" s="2" t="str">
        <x:v>1</x:v>
      </x:c>
      <x:c r="E19" s="2" t="str">
        <x:v>Feedback hypothesis</x:v>
      </x:c>
      <x:c r="F19" s="2" t="str">
        <x:v>Exponent for the soft-tissue response</x:v>
      </x:c>
    </x:row>
    <x:row r="20" ht="24" customHeight="1">
      <x:c r="B20" s="2" t="str">
        <x:v>carbonate_reference</x:v>
      </x:c>
      <x:c r="C20" s="30" t="n">
        <x:v>341.22511</x:v>
      </x:c>
      <x:c r="D20" s="2" t="str">
        <x:v>umol/kg</x:v>
      </x:c>
      <x:c r="E20" s="2" t="str">
        <x:v>Reference-state normalization</x:v>
      </x:c>
      <x:c r="F20" s="2" t="str">
        <x:v>Archived low-latitude TA minus DIC for the optional feedback</x:v>
      </x:c>
    </x:row>
    <x:row r="21" ht="24" customHeight="1">
      <x:c r="B21" s="2" t="str">
        <x:v>carbonate_half_saturation</x:v>
      </x:c>
      <x:c r="C21" s="28" t="n">
        <x:v>300</x:v>
      </x:c>
      <x:c r="D21" s="2" t="str">
        <x:v>umol/kg</x:v>
      </x:c>
      <x:c r="E21" s="2" t="str">
        <x:v>Feedback hypothesis</x:v>
      </x:c>
      <x:c r="F21" s="2" t="str">
        <x:v>Half-saturation concentration for the carbonate response</x:v>
      </x:c>
    </x:row>
    <x:row r="22" ht="24" customHeight="1">
      <x:c r="B22" s="2" t="str">
        <x:v>carbonate_exponent</x:v>
      </x:c>
      <x:c r="C22" s="28" t="n">
        <x:v>2</x:v>
      </x:c>
      <x:c r="D22" s="2" t="str">
        <x:v>1</x:v>
      </x:c>
      <x:c r="E22" s="2" t="str">
        <x:v>Feedback hypothesis</x:v>
      </x:c>
      <x:c r="F22" s="2" t="str">
        <x:v>Exponent for the carbonate response</x:v>
      </x:c>
    </x:row>
    <x:row r="23" ht="24" customHeight="1">
      <x:c r="B23" s="2"/>
      <x:c r="C23" s="2"/>
      <x:c r="D23" s="2"/>
      <x:c r="E23" s="2"/>
      <x:c r="F23" s="2"/>
    </x:row>
    <x:row r="24" ht="24" customHeight="1">
      <x:c r="B24" s="2"/>
      <x:c r="C24" s="2"/>
      <x:c r="D24" s="2"/>
      <x:c r="E24" s="2"/>
      <x:c r="F24" s="2"/>
    </x:row>
    <x:row r="25" ht="24" customHeight="1">
      <x:c r="B25" s="20" t="str">
        <x:v>Derived baseline fluxes</x:v>
      </x:c>
      <x:c r="C25" s="2"/>
      <x:c r="D25" s="2"/>
      <x:c r="E25" s="2"/>
      <x:c r="F25" s="2"/>
    </x:row>
    <x:row r="26" ht="24" customHeight="1">
      <x:c r="B26" s="2"/>
      <x:c r="C26" s="2"/>
      <x:c r="D26" s="2"/>
      <x:c r="E26" s="2"/>
      <x:c r="F26" s="2"/>
    </x:row>
    <x:row r="27" ht="30" customHeight="1">
      <x:c r="B27" s="25" t="str">
        <x:v>Flux</x:v>
      </x:c>
      <x:c r="C27" s="25" t="str">
        <x:v>Value</x:v>
      </x:c>
      <x:c r="D27" s="25" t="str">
        <x:v>Unit</x:v>
      </x:c>
      <x:c r="E27" s="2"/>
      <x:c r="F27" s="2"/>
    </x:row>
    <x:row r="28" ht="24" customHeight="1">
      <x:c r="B28" s="2" t="str">
        <x:v>PIC carbon</x:v>
      </x:c>
      <x:c r="C28" s="31" t="n">
        <x:f>C9*C10</x:f>
        <x:v>60</x:v>
      </x:c>
      <x:c r="D28" s="2" t="str">
        <x:v>Tmol C/yr</x:v>
      </x:c>
      <x:c r="E28" s="2"/>
      <x:c r="F28" s="2"/>
    </x:row>
    <x:row r="29" ht="24" customHeight="1">
      <x:c r="B29" s="2" t="str">
        <x:v>Weathering TA</x:v>
      </x:c>
      <x:c r="C29" s="31" t="n">
        <x:f>2*C11</x:f>
        <x:v>24</x:v>
      </x:c>
      <x:c r="D29" s="2" t="str">
        <x:v>Tmol eq/yr</x:v>
      </x:c>
      <x:c r="E29" s="2"/>
      <x:c r="F29" s="2"/>
    </x:row>
    <x:row r="30" ht="24" customHeight="1">
      <x:c r="B30" s="2"/>
      <x:c r="C30" s="2"/>
      <x:c r="D30" s="2"/>
      <x:c r="E30" s="2"/>
      <x:c r="F30" s="2"/>
    </x:row>
    <x:row r="32">
      <x:c r="B32" t="str">
        <x:v>Python applies these same relationships. PIC always removes one DIC and two TA equivalents; dissolution reverses them.</x:v>
      </x:c>
    </x:row>
    <x:row r="33">
      <x:c r="B33" t="str">
        <x:v>Pump strengths, feedback switches and forcing controls are selected in notebook 04. Feedback equations remain in Python.</x:v>
      </x:c>
    </x:row>
    <x:row r="34">
      <x:c r="B34" t="str">
        <x:v>Save after editing. Changes to baseline rates or chemistry require a new stationary control before using perturbation results.</x:v>
      </x:c>
    </x:row>
  </x:sheetData>
  <x:pageMargins left="0.7" right="0.7" top="0.75" bottom="0.75" header="0.3" footer="0.3"/>
  <x:tableParts count="1">
    <x:tablePart xmlns:r="http://schemas.openxmlformats.org/officeDocument/2006/relationships" r:id="Rae49b845b3344117"/>
  </x:tableParts>
</x:worksheet>
</file>